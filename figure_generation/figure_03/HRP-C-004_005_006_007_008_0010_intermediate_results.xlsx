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Kira Kerkhoff\Desktop\"/>
    </mc:Choice>
  </mc:AlternateContent>
  <bookViews>
    <workbookView xWindow="0" yWindow="0" windowWidth="26056" windowHeight="7757"/>
  </bookViews>
  <sheets>
    <sheet name="for submission" sheetId="3" r:id="rId1"/>
  </sheets>
  <calcPr calcId="162913"/>
</workbook>
</file>

<file path=xl/calcChain.xml><?xml version="1.0" encoding="utf-8"?>
<calcChain xmlns="http://schemas.openxmlformats.org/spreadsheetml/2006/main">
  <c r="K35" i="3" l="1"/>
  <c r="J35" i="3"/>
  <c r="F35" i="3"/>
  <c r="E35" i="3"/>
  <c r="X4" i="3" l="1"/>
  <c r="Y4" i="3"/>
  <c r="X5" i="3"/>
  <c r="Y5" i="3"/>
  <c r="X6" i="3"/>
  <c r="Y6" i="3"/>
  <c r="X7" i="3"/>
  <c r="Y7" i="3"/>
  <c r="X8" i="3"/>
  <c r="Y8" i="3"/>
  <c r="X10" i="3"/>
  <c r="Y10" i="3"/>
  <c r="X11" i="3"/>
  <c r="Y11" i="3"/>
  <c r="X12" i="3"/>
  <c r="Y12" i="3"/>
  <c r="X13" i="3"/>
  <c r="Y13" i="3"/>
  <c r="X14" i="3"/>
  <c r="Y14" i="3"/>
  <c r="X15" i="3"/>
  <c r="Y15" i="3"/>
  <c r="X16" i="3"/>
  <c r="Y16" i="3"/>
  <c r="X17" i="3"/>
  <c r="Y17" i="3"/>
  <c r="X18" i="3"/>
  <c r="Y18" i="3"/>
  <c r="X19" i="3"/>
  <c r="Y19" i="3"/>
  <c r="X21" i="3"/>
  <c r="Y21" i="3"/>
  <c r="X22" i="3"/>
  <c r="Y22" i="3"/>
  <c r="X23" i="3"/>
  <c r="Y23" i="3"/>
  <c r="X26" i="3"/>
  <c r="Y26" i="3"/>
  <c r="X27" i="3"/>
  <c r="Y27" i="3"/>
  <c r="X28" i="3"/>
  <c r="Y28" i="3"/>
  <c r="X29" i="3"/>
  <c r="Y29" i="3"/>
  <c r="X30" i="3"/>
  <c r="Y30" i="3"/>
  <c r="X31" i="3"/>
  <c r="Y31" i="3"/>
  <c r="X32" i="3"/>
  <c r="Y32" i="3"/>
  <c r="X33" i="3"/>
  <c r="Y33" i="3"/>
  <c r="X34" i="3"/>
  <c r="Y34" i="3"/>
  <c r="X35" i="3"/>
  <c r="Y35" i="3"/>
  <c r="Y3" i="3"/>
  <c r="X3" i="3"/>
  <c r="S4" i="3"/>
  <c r="T4" i="3"/>
  <c r="S6" i="3"/>
  <c r="T6" i="3"/>
  <c r="S7" i="3"/>
  <c r="T7" i="3"/>
  <c r="S8" i="3"/>
  <c r="T8" i="3"/>
  <c r="S10" i="3"/>
  <c r="T10" i="3"/>
  <c r="S11" i="3"/>
  <c r="T11" i="3"/>
  <c r="S12" i="3"/>
  <c r="T12" i="3"/>
  <c r="S14" i="3"/>
  <c r="T14" i="3"/>
  <c r="S20" i="3"/>
  <c r="T20" i="3"/>
  <c r="S22" i="3"/>
  <c r="T22" i="3"/>
  <c r="S24" i="3"/>
  <c r="T24" i="3"/>
  <c r="S26" i="3"/>
  <c r="T26" i="3"/>
  <c r="S27" i="3"/>
  <c r="T27" i="3"/>
  <c r="S33" i="3"/>
  <c r="T33" i="3"/>
  <c r="S34" i="3"/>
  <c r="T34" i="3"/>
  <c r="S35" i="3"/>
  <c r="T35" i="3"/>
  <c r="T3" i="3"/>
  <c r="S3" i="3"/>
  <c r="O22" i="3"/>
  <c r="N6" i="3"/>
  <c r="O6" i="3"/>
  <c r="N7" i="3"/>
  <c r="O7" i="3"/>
  <c r="N8" i="3"/>
  <c r="O8" i="3"/>
  <c r="N10" i="3"/>
  <c r="O10" i="3"/>
  <c r="N11" i="3"/>
  <c r="O11" i="3"/>
  <c r="N12" i="3"/>
  <c r="O12" i="3"/>
  <c r="N14" i="3"/>
  <c r="O14" i="3"/>
  <c r="N20" i="3"/>
  <c r="O20" i="3"/>
  <c r="N22" i="3"/>
  <c r="N24" i="3"/>
  <c r="O24" i="3"/>
  <c r="N26" i="3"/>
  <c r="O26" i="3"/>
  <c r="N27" i="3"/>
  <c r="O27" i="3"/>
  <c r="N33" i="3"/>
  <c r="O33" i="3"/>
  <c r="N34" i="3"/>
  <c r="O34" i="3"/>
  <c r="N35" i="3"/>
  <c r="O35" i="3"/>
  <c r="O3" i="3"/>
  <c r="N3" i="3"/>
  <c r="E10" i="3"/>
  <c r="F10" i="3"/>
  <c r="E4" i="3"/>
  <c r="F4" i="3"/>
  <c r="E6" i="3"/>
  <c r="F6" i="3"/>
  <c r="E7" i="3"/>
  <c r="F7" i="3"/>
  <c r="E8" i="3"/>
  <c r="F8" i="3"/>
  <c r="E11" i="3"/>
  <c r="F11" i="3"/>
  <c r="E12" i="3"/>
  <c r="F12" i="3"/>
  <c r="E14" i="3"/>
  <c r="F14" i="3"/>
  <c r="E15" i="3"/>
  <c r="F15" i="3"/>
  <c r="E17" i="3"/>
  <c r="F17" i="3"/>
  <c r="E18" i="3"/>
  <c r="F18" i="3"/>
  <c r="E21" i="3"/>
  <c r="F21" i="3"/>
  <c r="E22" i="3"/>
  <c r="F22" i="3"/>
  <c r="E23" i="3"/>
  <c r="F23" i="3"/>
  <c r="E24" i="3"/>
  <c r="F24" i="3"/>
  <c r="E26" i="3"/>
  <c r="F26" i="3"/>
  <c r="E33" i="3"/>
  <c r="F33" i="3"/>
  <c r="E34" i="3"/>
  <c r="F34" i="3"/>
  <c r="F3" i="3"/>
  <c r="E3" i="3"/>
  <c r="J4" i="3"/>
  <c r="K4" i="3"/>
  <c r="J6" i="3"/>
  <c r="K6" i="3"/>
  <c r="J7" i="3"/>
  <c r="K7" i="3"/>
  <c r="J8" i="3"/>
  <c r="K8" i="3"/>
  <c r="J10" i="3"/>
  <c r="K10" i="3"/>
  <c r="J11" i="3"/>
  <c r="K11" i="3"/>
  <c r="J12" i="3"/>
  <c r="K12" i="3"/>
  <c r="J14" i="3"/>
  <c r="K14" i="3"/>
  <c r="J15" i="3"/>
  <c r="K15" i="3"/>
  <c r="J17" i="3"/>
  <c r="K17" i="3"/>
  <c r="J18" i="3"/>
  <c r="K18" i="3"/>
  <c r="J21" i="3"/>
  <c r="K21" i="3"/>
  <c r="J22" i="3"/>
  <c r="K22" i="3"/>
  <c r="J23" i="3"/>
  <c r="K23" i="3"/>
  <c r="J24" i="3"/>
  <c r="K24" i="3"/>
  <c r="J26" i="3"/>
  <c r="K26" i="3"/>
  <c r="J32" i="3"/>
  <c r="K32" i="3"/>
  <c r="J33" i="3"/>
  <c r="K33" i="3"/>
  <c r="J34" i="3"/>
  <c r="K34" i="3"/>
  <c r="K3" i="3"/>
  <c r="J3" i="3"/>
  <c r="AC4" i="3"/>
  <c r="AD4" i="3"/>
  <c r="AC5" i="3"/>
  <c r="AD5" i="3"/>
  <c r="AC6" i="3"/>
  <c r="AD6" i="3"/>
  <c r="AC7" i="3"/>
  <c r="AD7" i="3"/>
  <c r="AC8" i="3"/>
  <c r="AD8" i="3"/>
  <c r="AC10" i="3"/>
  <c r="AD10" i="3"/>
  <c r="AC11" i="3"/>
  <c r="AD11" i="3"/>
  <c r="AC12" i="3"/>
  <c r="AD12" i="3"/>
  <c r="AC13" i="3"/>
  <c r="AD13" i="3"/>
  <c r="AC14" i="3"/>
  <c r="AD14" i="3"/>
  <c r="AC15" i="3"/>
  <c r="AD15" i="3"/>
  <c r="AC16" i="3"/>
  <c r="AD16" i="3"/>
  <c r="AC17" i="3"/>
  <c r="AD17" i="3"/>
  <c r="AC18" i="3"/>
  <c r="AD18" i="3"/>
  <c r="AC19" i="3"/>
  <c r="AD19" i="3"/>
  <c r="AC20" i="3"/>
  <c r="AD20" i="3"/>
  <c r="AC21" i="3"/>
  <c r="AD21" i="3"/>
  <c r="AC22" i="3"/>
  <c r="AD22" i="3"/>
  <c r="AC23" i="3"/>
  <c r="AD23" i="3"/>
  <c r="AC24" i="3"/>
  <c r="AD24" i="3"/>
  <c r="AC26" i="3"/>
  <c r="AD26" i="3"/>
  <c r="AC27" i="3"/>
  <c r="AD27" i="3"/>
  <c r="AC28" i="3"/>
  <c r="AD28" i="3"/>
  <c r="AC30" i="3"/>
  <c r="AD30" i="3"/>
  <c r="AC31" i="3"/>
  <c r="AD31" i="3"/>
  <c r="AC32" i="3"/>
  <c r="AD32" i="3"/>
  <c r="AC33" i="3"/>
  <c r="AD33" i="3"/>
  <c r="AC34" i="3"/>
  <c r="AD34" i="3"/>
  <c r="AC35" i="3"/>
  <c r="AD35" i="3"/>
  <c r="AD3" i="3"/>
  <c r="AC3" i="3"/>
</calcChain>
</file>

<file path=xl/sharedStrings.xml><?xml version="1.0" encoding="utf-8"?>
<sst xmlns="http://schemas.openxmlformats.org/spreadsheetml/2006/main" count="64" uniqueCount="56">
  <si>
    <t>acp3U</t>
  </si>
  <si>
    <t>m5U</t>
  </si>
  <si>
    <t>m5Um</t>
  </si>
  <si>
    <t>RNA_1</t>
  </si>
  <si>
    <t>ncm5U</t>
  </si>
  <si>
    <t>rRNA_18S_2</t>
  </si>
  <si>
    <t>m66Am</t>
  </si>
  <si>
    <t>m1A</t>
  </si>
  <si>
    <t>A</t>
  </si>
  <si>
    <t>m7G</t>
  </si>
  <si>
    <t>mcm5U</t>
  </si>
  <si>
    <t>m5C</t>
  </si>
  <si>
    <t>rRNA_5.8S_2</t>
  </si>
  <si>
    <t>m3U</t>
  </si>
  <si>
    <t>t6A</t>
  </si>
  <si>
    <t>rRNA_18S_3</t>
  </si>
  <si>
    <t>rRNA_5S_1</t>
  </si>
  <si>
    <t>D</t>
  </si>
  <si>
    <t>m66A</t>
  </si>
  <si>
    <t>C</t>
  </si>
  <si>
    <t>Compound Method</t>
  </si>
  <si>
    <t>m3C</t>
  </si>
  <si>
    <t>rRNA_5S_3</t>
  </si>
  <si>
    <t>rRNA_18S_1</t>
  </si>
  <si>
    <t>Q</t>
  </si>
  <si>
    <t>m1G</t>
  </si>
  <si>
    <t>RNA_3</t>
  </si>
  <si>
    <t>i6A</t>
  </si>
  <si>
    <t>tRNA_2</t>
  </si>
  <si>
    <t>mcm5s2U</t>
  </si>
  <si>
    <t>Cm</t>
  </si>
  <si>
    <t>tRNA_1</t>
  </si>
  <si>
    <t>m1I</t>
  </si>
  <si>
    <t>m2G</t>
  </si>
  <si>
    <t>m6A</t>
  </si>
  <si>
    <t>G</t>
  </si>
  <si>
    <t>RNA_2</t>
  </si>
  <si>
    <t>Um</t>
  </si>
  <si>
    <t>Gm</t>
  </si>
  <si>
    <t>tRNA_3</t>
  </si>
  <si>
    <t>rRNA_28S_1</t>
  </si>
  <si>
    <t>U</t>
  </si>
  <si>
    <t>Y</t>
  </si>
  <si>
    <t>rRNA_5.8S_1</t>
  </si>
  <si>
    <t>rRNA_5S_2</t>
  </si>
  <si>
    <t>rRNA_5.8S_3</t>
  </si>
  <si>
    <t>ac4C</t>
  </si>
  <si>
    <t>m22G</t>
  </si>
  <si>
    <t>Am</t>
  </si>
  <si>
    <t>rRNA_28S_2</t>
  </si>
  <si>
    <t>I</t>
  </si>
  <si>
    <t>per 1000 CUGA</t>
  </si>
  <si>
    <t>Mean</t>
  </si>
  <si>
    <t>STAB(S)</t>
  </si>
  <si>
    <t>mean</t>
  </si>
  <si>
    <t>Stab(s)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</si>
</sst>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7"/>
      <name val="Microsoft Sans Serif"/>
      <family val="2"/>
    </font>
    <font>
      <sz val="7"/>
      <color rgb="FF000000"/>
      <name val="Microsoft Sans Serif"/>
      <family val="2"/>
    </font>
    <font>
      <sz val="7"/>
      <color rgb="FFFF0000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0" fillId="3" borderId="0" xfId="0" applyFill="1"/>
    <xf numFmtId="0" fontId="1" fillId="3" borderId="1" xfId="0" applyFont="1" applyFill="1" applyBorder="1" applyAlignment="1">
      <alignment horizontal="righ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5"/>
  <sheetViews>
    <sheetView tabSelected="1" zoomScaleNormal="100" workbookViewId="0">
      <selection activeCell="E35" sqref="E35"/>
    </sheetView>
  </sheetViews>
  <sheetFormatPr baseColWidth="10" defaultRowHeight="14.3" x14ac:dyDescent="0.25"/>
  <cols>
    <col min="14" max="14" width="11" style="5"/>
  </cols>
  <sheetData>
    <row r="1" spans="1:30" x14ac:dyDescent="0.25">
      <c r="A1" t="s">
        <v>51</v>
      </c>
    </row>
    <row r="2" spans="1:30" x14ac:dyDescent="0.25">
      <c r="A2" s="2" t="s">
        <v>20</v>
      </c>
      <c r="B2" s="2" t="s">
        <v>43</v>
      </c>
      <c r="C2" s="2" t="s">
        <v>12</v>
      </c>
      <c r="D2" s="2" t="s">
        <v>45</v>
      </c>
      <c r="E2" s="2" t="s">
        <v>52</v>
      </c>
      <c r="F2" s="2" t="s">
        <v>53</v>
      </c>
      <c r="G2" s="2" t="s">
        <v>16</v>
      </c>
      <c r="H2" s="2" t="s">
        <v>44</v>
      </c>
      <c r="I2" s="2" t="s">
        <v>22</v>
      </c>
      <c r="J2" s="2" t="s">
        <v>52</v>
      </c>
      <c r="K2" s="2" t="s">
        <v>53</v>
      </c>
      <c r="L2" s="2" t="s">
        <v>40</v>
      </c>
      <c r="M2" s="2" t="s">
        <v>49</v>
      </c>
      <c r="N2" s="2" t="s">
        <v>54</v>
      </c>
      <c r="O2" s="2" t="s">
        <v>55</v>
      </c>
      <c r="P2" s="2" t="s">
        <v>23</v>
      </c>
      <c r="Q2" s="2" t="s">
        <v>5</v>
      </c>
      <c r="R2" s="2" t="s">
        <v>15</v>
      </c>
      <c r="S2" s="2" t="s">
        <v>54</v>
      </c>
      <c r="T2" s="2" t="s">
        <v>55</v>
      </c>
      <c r="U2" s="2" t="s">
        <v>31</v>
      </c>
      <c r="V2" s="2" t="s">
        <v>28</v>
      </c>
      <c r="W2" s="2" t="s">
        <v>39</v>
      </c>
      <c r="X2" s="2" t="s">
        <v>54</v>
      </c>
      <c r="Y2" s="2" t="s">
        <v>55</v>
      </c>
      <c r="Z2" s="2" t="s">
        <v>3</v>
      </c>
      <c r="AA2" s="2" t="s">
        <v>36</v>
      </c>
      <c r="AB2" s="2" t="s">
        <v>26</v>
      </c>
      <c r="AC2" s="2" t="s">
        <v>52</v>
      </c>
      <c r="AD2" s="2" t="s">
        <v>53</v>
      </c>
    </row>
    <row r="3" spans="1:30" x14ac:dyDescent="0.25">
      <c r="A3" s="3" t="s">
        <v>8</v>
      </c>
      <c r="B3" s="1">
        <v>229.16542540509909</v>
      </c>
      <c r="C3" s="1">
        <v>232.94646601979204</v>
      </c>
      <c r="D3" s="1">
        <v>224.47362236138375</v>
      </c>
      <c r="E3" s="1">
        <f>AVERAGE(B3:D3)</f>
        <v>228.86183792875829</v>
      </c>
      <c r="F3" s="1">
        <f>_xlfn.STDEV.S(B3:D3)</f>
        <v>4.2445722907968761</v>
      </c>
      <c r="G3" s="1">
        <v>190.71387213762591</v>
      </c>
      <c r="H3" s="1">
        <v>184.94516270077324</v>
      </c>
      <c r="I3" s="1">
        <v>196.43083385616814</v>
      </c>
      <c r="J3" s="1">
        <f>AVERAGE(G3:I3)</f>
        <v>190.69662289818908</v>
      </c>
      <c r="K3" s="1">
        <f>_xlfn.STDEV.S(G3:I3)</f>
        <v>5.7428550064113102</v>
      </c>
      <c r="L3" s="1">
        <v>165.27168461253314</v>
      </c>
      <c r="M3" s="1">
        <v>162.62253646420723</v>
      </c>
      <c r="N3" s="6">
        <f>AVERAGE(L3:M3)</f>
        <v>163.94711053837017</v>
      </c>
      <c r="O3" s="1">
        <f>_xlfn.STDEV.S(L3:M3)</f>
        <v>1.8732306200490343</v>
      </c>
      <c r="P3" s="1">
        <v>216.87030267563466</v>
      </c>
      <c r="Q3" s="1">
        <v>216.67944145460564</v>
      </c>
      <c r="R3" s="1">
        <v>214.18091200389409</v>
      </c>
      <c r="S3" s="1">
        <f>AVERAGE(P3:R3)</f>
        <v>215.91021871137812</v>
      </c>
      <c r="T3" s="1">
        <f>_xlfn.STDEV.S(P3:R3)</f>
        <v>1.5006609436628697</v>
      </c>
      <c r="U3" s="1">
        <v>206.80951726518023</v>
      </c>
      <c r="V3" s="1">
        <v>208.08819007348441</v>
      </c>
      <c r="W3" s="1">
        <v>209.62191292552302</v>
      </c>
      <c r="X3" s="1">
        <f>AVERAGE(U3:W3)</f>
        <v>208.17320675472922</v>
      </c>
      <c r="Y3" s="1">
        <f>_xlfn.STDEV.S(U3:W3)</f>
        <v>1.4081240054221598</v>
      </c>
      <c r="Z3" s="1">
        <v>190.29551467253026</v>
      </c>
      <c r="AA3" s="1">
        <v>184.53556910342539</v>
      </c>
      <c r="AB3" s="1">
        <v>191.23849972886345</v>
      </c>
      <c r="AC3" s="1">
        <f>AVERAGE(Z3:AB3)</f>
        <v>188.68986116827304</v>
      </c>
      <c r="AD3" s="1">
        <f>_xlfn.STDEV.S(Z3:AB3)</f>
        <v>3.6284862028343161</v>
      </c>
    </row>
    <row r="4" spans="1:30" x14ac:dyDescent="0.25">
      <c r="A4" s="3" t="s">
        <v>46</v>
      </c>
      <c r="B4" s="1">
        <v>1.4103055554399531E-2</v>
      </c>
      <c r="C4" s="1">
        <v>1.4340046832129688E-2</v>
      </c>
      <c r="D4" s="1">
        <v>1.3281337721277871E-2</v>
      </c>
      <c r="E4" s="1">
        <f t="shared" ref="E4:E35" si="0">AVERAGE(B4:D4)</f>
        <v>1.3908146702602363E-2</v>
      </c>
      <c r="F4" s="1">
        <f t="shared" ref="F4:F35" si="1">_xlfn.STDEV.S(B4:D4)</f>
        <v>5.5561528122598366E-4</v>
      </c>
      <c r="G4" s="1">
        <v>2.2886455952762955E-2</v>
      </c>
      <c r="H4" s="1">
        <v>2.2001894795936734E-2</v>
      </c>
      <c r="I4" s="1">
        <v>2.3750957552534518E-2</v>
      </c>
      <c r="J4" s="1">
        <f t="shared" ref="J4:J35" si="2">AVERAGE(G4:I4)</f>
        <v>2.2879769433744739E-2</v>
      </c>
      <c r="K4" s="1">
        <f t="shared" ref="K4:K35" si="3">_xlfn.STDEV.S(G4:I4)</f>
        <v>8.745505495863547E-4</v>
      </c>
      <c r="L4" s="4"/>
      <c r="M4" s="4"/>
      <c r="N4" s="6"/>
      <c r="O4" s="1"/>
      <c r="P4" s="1">
        <v>0.19609794055801533</v>
      </c>
      <c r="Q4" s="1">
        <v>0.19672109071961619</v>
      </c>
      <c r="R4" s="1">
        <v>0.18783200387114035</v>
      </c>
      <c r="S4" s="1">
        <f t="shared" ref="S4:S35" si="4">AVERAGE(P4:R4)</f>
        <v>0.19355034504959065</v>
      </c>
      <c r="T4" s="1">
        <f t="shared" ref="T4:T35" si="5">_xlfn.STDEV.S(P4:R4)</f>
        <v>4.9620205970799655E-3</v>
      </c>
      <c r="U4" s="1">
        <v>0.43961506233604947</v>
      </c>
      <c r="V4" s="1">
        <v>0.44450710313166242</v>
      </c>
      <c r="W4" s="1">
        <v>0.44722472579734462</v>
      </c>
      <c r="X4" s="1">
        <f t="shared" ref="X4:X35" si="6">AVERAGE(U4:W4)</f>
        <v>0.4437822970883521</v>
      </c>
      <c r="Y4" s="1">
        <f t="shared" ref="Y4:Y35" si="7">_xlfn.STDEV.S(U4:W4)</f>
        <v>3.8562614471605709E-3</v>
      </c>
      <c r="Z4" s="1">
        <v>9.6551585329677211E-2</v>
      </c>
      <c r="AA4" s="1">
        <v>9.9341338582941266E-2</v>
      </c>
      <c r="AB4" s="1">
        <v>9.61168861989323E-2</v>
      </c>
      <c r="AC4" s="1">
        <f t="shared" ref="AC4:AC35" si="8">AVERAGE(Z4:AB4)</f>
        <v>9.733660337051693E-2</v>
      </c>
      <c r="AD4" s="1">
        <f t="shared" ref="AD4:AD35" si="9">_xlfn.STDEV.S(Z4:AB4)</f>
        <v>1.7497037713619251E-3</v>
      </c>
    </row>
    <row r="5" spans="1:30" x14ac:dyDescent="0.25">
      <c r="A5" s="3" t="s">
        <v>0</v>
      </c>
      <c r="B5" s="1">
        <v>0</v>
      </c>
      <c r="C5" s="1">
        <v>0</v>
      </c>
      <c r="D5" s="1">
        <v>0</v>
      </c>
      <c r="E5" s="1"/>
      <c r="F5" s="1"/>
      <c r="G5" s="1"/>
      <c r="H5" s="1"/>
      <c r="I5" s="1"/>
      <c r="J5" s="1"/>
      <c r="K5" s="1"/>
      <c r="L5" s="1">
        <v>0</v>
      </c>
      <c r="M5" s="1">
        <v>0</v>
      </c>
      <c r="N5" s="6"/>
      <c r="O5" s="1"/>
      <c r="P5" s="1">
        <v>0</v>
      </c>
      <c r="Q5" s="1">
        <v>0</v>
      </c>
      <c r="R5" s="1">
        <v>0</v>
      </c>
      <c r="S5" s="1"/>
      <c r="T5" s="1"/>
      <c r="U5" s="1">
        <v>0.85088037684811102</v>
      </c>
      <c r="V5" s="1">
        <v>0.88667176241191148</v>
      </c>
      <c r="W5" s="1">
        <v>0.87114499077814145</v>
      </c>
      <c r="X5" s="1">
        <f t="shared" si="6"/>
        <v>0.86956571001272132</v>
      </c>
      <c r="Y5" s="1">
        <f t="shared" si="7"/>
        <v>1.7947880541896177E-2</v>
      </c>
      <c r="Z5" s="1">
        <v>6.5236839445531269E-2</v>
      </c>
      <c r="AA5" s="1">
        <v>6.383406593518548E-2</v>
      </c>
      <c r="AB5" s="1">
        <v>6.7385382762798998E-2</v>
      </c>
      <c r="AC5" s="1">
        <f t="shared" si="8"/>
        <v>6.5485429381171911E-2</v>
      </c>
      <c r="AD5" s="1">
        <f t="shared" si="9"/>
        <v>1.7886616559872638E-3</v>
      </c>
    </row>
    <row r="6" spans="1:30" x14ac:dyDescent="0.25">
      <c r="A6" s="3" t="s">
        <v>48</v>
      </c>
      <c r="B6" s="1">
        <v>3.6729401514515989</v>
      </c>
      <c r="C6" s="1">
        <v>3.8174178186279462</v>
      </c>
      <c r="D6" s="1">
        <v>3.6775598751093574</v>
      </c>
      <c r="E6" s="1">
        <f t="shared" si="0"/>
        <v>3.7226392817296343</v>
      </c>
      <c r="F6" s="1">
        <f t="shared" si="1"/>
        <v>8.2113115603459047E-2</v>
      </c>
      <c r="G6" s="1">
        <v>1.619865977449948</v>
      </c>
      <c r="H6" s="1">
        <v>1.5665622967751922</v>
      </c>
      <c r="I6" s="1">
        <v>1.6648902980509459</v>
      </c>
      <c r="J6" s="1">
        <f t="shared" si="2"/>
        <v>1.6171061907586954</v>
      </c>
      <c r="K6" s="1">
        <f t="shared" si="3"/>
        <v>4.9222060863570782E-2</v>
      </c>
      <c r="L6" s="1">
        <v>2.9857478661467081</v>
      </c>
      <c r="M6" s="1">
        <v>3.0173543910174363</v>
      </c>
      <c r="N6" s="6">
        <f t="shared" ref="N6:N35" si="10">AVERAGE(L6:M6)</f>
        <v>3.0015511285820722</v>
      </c>
      <c r="O6" s="1">
        <f t="shared" ref="O6:O35" si="11">_xlfn.STDEV.S(L6:M6)</f>
        <v>2.2349188065833202E-2</v>
      </c>
      <c r="P6" s="1">
        <v>4.8510166650885083</v>
      </c>
      <c r="Q6" s="1">
        <v>4.7482214663816009</v>
      </c>
      <c r="R6" s="1">
        <v>4.7500089346121177</v>
      </c>
      <c r="S6" s="1">
        <f t="shared" si="4"/>
        <v>4.7830823553607429</v>
      </c>
      <c r="T6" s="1">
        <f t="shared" si="5"/>
        <v>5.8839626012660934E-2</v>
      </c>
      <c r="U6" s="1">
        <v>0.18872131021773567</v>
      </c>
      <c r="V6" s="1">
        <v>0.18460893719225605</v>
      </c>
      <c r="W6" s="1">
        <v>0.18580524598804091</v>
      </c>
      <c r="X6" s="1">
        <f t="shared" si="6"/>
        <v>0.18637849779934421</v>
      </c>
      <c r="Y6" s="1">
        <f t="shared" si="7"/>
        <v>2.1152697711036739E-3</v>
      </c>
      <c r="Z6" s="1">
        <v>3.2337219010949312</v>
      </c>
      <c r="AA6" s="1">
        <v>3.1660167342577714</v>
      </c>
      <c r="AB6" s="1">
        <v>3.2682023288817494</v>
      </c>
      <c r="AC6" s="1">
        <f t="shared" si="8"/>
        <v>3.2226469880781505</v>
      </c>
      <c r="AD6" s="1">
        <f t="shared" si="9"/>
        <v>5.1985230699795236E-2</v>
      </c>
    </row>
    <row r="7" spans="1:30" x14ac:dyDescent="0.25">
      <c r="A7" s="3" t="s">
        <v>19</v>
      </c>
      <c r="B7" s="1">
        <v>225.80969892474189</v>
      </c>
      <c r="C7" s="1">
        <v>234.39629548602127</v>
      </c>
      <c r="D7" s="1">
        <v>232.1086299016938</v>
      </c>
      <c r="E7" s="1">
        <f t="shared" si="0"/>
        <v>230.77154143748567</v>
      </c>
      <c r="F7" s="1">
        <f t="shared" si="1"/>
        <v>4.4467138762666742</v>
      </c>
      <c r="G7" s="1">
        <v>275.08025969594473</v>
      </c>
      <c r="H7" s="1">
        <v>256.09149629733952</v>
      </c>
      <c r="I7" s="1">
        <v>262.24690681901728</v>
      </c>
      <c r="J7" s="1">
        <f t="shared" si="2"/>
        <v>264.47288760410055</v>
      </c>
      <c r="K7" s="1">
        <f t="shared" si="3"/>
        <v>9.6881126486907689</v>
      </c>
      <c r="L7" s="1">
        <v>323.40060054503499</v>
      </c>
      <c r="M7" s="1">
        <v>322.3395569168286</v>
      </c>
      <c r="N7" s="6">
        <f t="shared" si="10"/>
        <v>322.87007873093182</v>
      </c>
      <c r="O7" s="1">
        <f t="shared" si="11"/>
        <v>0.75027114463951738</v>
      </c>
      <c r="P7" s="1">
        <v>282.60166924576214</v>
      </c>
      <c r="Q7" s="1">
        <v>279.00888962923773</v>
      </c>
      <c r="R7" s="1">
        <v>269.41804002005063</v>
      </c>
      <c r="S7" s="1">
        <f t="shared" si="4"/>
        <v>277.00953296501683</v>
      </c>
      <c r="T7" s="1">
        <f t="shared" si="5"/>
        <v>6.8154303014066597</v>
      </c>
      <c r="U7" s="1">
        <v>287.09756863643349</v>
      </c>
      <c r="V7" s="1">
        <v>283.54639214094624</v>
      </c>
      <c r="W7" s="1">
        <v>281.4968597982712</v>
      </c>
      <c r="X7" s="1">
        <f t="shared" si="6"/>
        <v>284.04694019188366</v>
      </c>
      <c r="Y7" s="1">
        <f t="shared" si="7"/>
        <v>2.8337071365863173</v>
      </c>
      <c r="Z7" s="1">
        <v>291.40901048884939</v>
      </c>
      <c r="AA7" s="1">
        <v>303.03968475989967</v>
      </c>
      <c r="AB7" s="1">
        <v>295.6140536358742</v>
      </c>
      <c r="AC7" s="1">
        <f t="shared" si="8"/>
        <v>296.68758296154107</v>
      </c>
      <c r="AD7" s="1">
        <f t="shared" si="9"/>
        <v>5.8891845708568047</v>
      </c>
    </row>
    <row r="8" spans="1:30" x14ac:dyDescent="0.25">
      <c r="A8" s="3" t="s">
        <v>30</v>
      </c>
      <c r="B8" s="1">
        <v>2.4226986109072217</v>
      </c>
      <c r="C8" s="1">
        <v>2.4693851969030329</v>
      </c>
      <c r="D8" s="1">
        <v>2.345084416057595</v>
      </c>
      <c r="E8" s="1">
        <f t="shared" si="0"/>
        <v>2.4123894079559496</v>
      </c>
      <c r="F8" s="1">
        <f t="shared" si="1"/>
        <v>6.2788380922064568E-2</v>
      </c>
      <c r="G8" s="1">
        <v>2.4962185635961034</v>
      </c>
      <c r="H8" s="1">
        <v>2.381965602370514</v>
      </c>
      <c r="I8" s="1">
        <v>2.4784720939615585</v>
      </c>
      <c r="J8" s="1">
        <f t="shared" si="2"/>
        <v>2.452218753309392</v>
      </c>
      <c r="K8" s="1">
        <f t="shared" si="3"/>
        <v>6.1484658320210515E-2</v>
      </c>
      <c r="L8" s="1">
        <v>3.2225198760049238</v>
      </c>
      <c r="M8" s="1">
        <v>3.1149976958993761</v>
      </c>
      <c r="N8" s="6">
        <f t="shared" si="10"/>
        <v>3.16875878595215</v>
      </c>
      <c r="O8" s="1">
        <f t="shared" si="11"/>
        <v>7.6029662680594079E-2</v>
      </c>
      <c r="P8" s="1">
        <v>3.7775160825930043</v>
      </c>
      <c r="Q8" s="1">
        <v>3.9121268539462379</v>
      </c>
      <c r="R8" s="1">
        <v>3.7822603608333245</v>
      </c>
      <c r="S8" s="1">
        <f t="shared" si="4"/>
        <v>3.8239677657908557</v>
      </c>
      <c r="T8" s="1">
        <f t="shared" si="5"/>
        <v>7.6384852309189885E-2</v>
      </c>
      <c r="U8" s="1">
        <v>2.9890067760484484</v>
      </c>
      <c r="V8" s="1">
        <v>3.0097840773158819</v>
      </c>
      <c r="W8" s="1">
        <v>2.9360120913099563</v>
      </c>
      <c r="X8" s="1">
        <f t="shared" si="6"/>
        <v>2.9782676482247621</v>
      </c>
      <c r="Y8" s="1">
        <f t="shared" si="7"/>
        <v>3.8040414424986541E-2</v>
      </c>
      <c r="Z8" s="1">
        <v>3.240145309175833</v>
      </c>
      <c r="AA8" s="1">
        <v>3.170848563269105</v>
      </c>
      <c r="AB8" s="1">
        <v>3.2630918601977297</v>
      </c>
      <c r="AC8" s="1">
        <f t="shared" si="8"/>
        <v>3.2246952442142227</v>
      </c>
      <c r="AD8" s="1">
        <f t="shared" si="9"/>
        <v>4.8023273915405749E-2</v>
      </c>
    </row>
    <row r="9" spans="1:30" x14ac:dyDescent="0.25">
      <c r="A9" s="3" t="s">
        <v>17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6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25">
      <c r="A10" s="3" t="s">
        <v>35</v>
      </c>
      <c r="B10" s="1">
        <v>332.54336029531754</v>
      </c>
      <c r="C10" s="1">
        <v>332.36719339656207</v>
      </c>
      <c r="D10" s="1">
        <v>324.06172254314288</v>
      </c>
      <c r="E10" s="1">
        <f t="shared" si="0"/>
        <v>329.65742541167418</v>
      </c>
      <c r="F10" s="1">
        <f t="shared" si="1"/>
        <v>4.8468212922204206</v>
      </c>
      <c r="G10" s="1">
        <v>347.02970884952208</v>
      </c>
      <c r="H10" s="1">
        <v>326.32347302933607</v>
      </c>
      <c r="I10" s="1">
        <v>341.78597761850671</v>
      </c>
      <c r="J10" s="1">
        <f t="shared" si="2"/>
        <v>338.3797198324549</v>
      </c>
      <c r="K10" s="1">
        <f t="shared" si="3"/>
        <v>10.765175081672718</v>
      </c>
      <c r="L10" s="1">
        <v>372.87257478901364</v>
      </c>
      <c r="M10" s="1">
        <v>377.12038872594024</v>
      </c>
      <c r="N10" s="6">
        <f t="shared" si="10"/>
        <v>374.99648175747694</v>
      </c>
      <c r="O10" s="1">
        <f t="shared" si="11"/>
        <v>3.0036580400195279</v>
      </c>
      <c r="P10" s="1">
        <v>336.03389527921121</v>
      </c>
      <c r="Q10" s="1">
        <v>329.26639528775621</v>
      </c>
      <c r="R10" s="1">
        <v>326.14172680069061</v>
      </c>
      <c r="S10" s="1">
        <f t="shared" si="4"/>
        <v>330.48067245588601</v>
      </c>
      <c r="T10" s="1">
        <f t="shared" si="5"/>
        <v>5.0566393071525422</v>
      </c>
      <c r="U10" s="1">
        <v>334.4144697437859</v>
      </c>
      <c r="V10" s="1">
        <v>335.45129565284577</v>
      </c>
      <c r="W10" s="1">
        <v>337.33428657021869</v>
      </c>
      <c r="X10" s="1">
        <f t="shared" si="6"/>
        <v>335.73335065561679</v>
      </c>
      <c r="Y10" s="1">
        <f t="shared" si="7"/>
        <v>1.4802022981407428</v>
      </c>
      <c r="Z10" s="1">
        <v>367.79923129861913</v>
      </c>
      <c r="AA10" s="1">
        <v>362.11082159671543</v>
      </c>
      <c r="AB10" s="1">
        <v>367.04881089850136</v>
      </c>
      <c r="AC10" s="1">
        <f t="shared" si="8"/>
        <v>365.65295459794532</v>
      </c>
      <c r="AD10" s="1">
        <f t="shared" si="9"/>
        <v>3.0904388592932204</v>
      </c>
    </row>
    <row r="11" spans="1:30" x14ac:dyDescent="0.25">
      <c r="A11" s="3" t="s">
        <v>38</v>
      </c>
      <c r="B11" s="1">
        <v>5.5271024097015937</v>
      </c>
      <c r="C11" s="1">
        <v>5.5975853351543314</v>
      </c>
      <c r="D11" s="1">
        <v>5.4175456068911085</v>
      </c>
      <c r="E11" s="1">
        <f t="shared" si="0"/>
        <v>5.5140777839156785</v>
      </c>
      <c r="F11" s="1">
        <f t="shared" si="1"/>
        <v>9.0723792887649618E-2</v>
      </c>
      <c r="G11" s="1">
        <v>0.91646355582529615</v>
      </c>
      <c r="H11" s="1">
        <v>0.85421374870588385</v>
      </c>
      <c r="I11" s="1">
        <v>0.88550450371249934</v>
      </c>
      <c r="J11" s="1">
        <f t="shared" si="2"/>
        <v>0.88539393608122641</v>
      </c>
      <c r="K11" s="1">
        <f t="shared" si="3"/>
        <v>3.1125050851393363E-2</v>
      </c>
      <c r="L11" s="1">
        <v>3.4851560650135816</v>
      </c>
      <c r="M11" s="1">
        <v>3.5750292220571787</v>
      </c>
      <c r="N11" s="6">
        <f t="shared" si="10"/>
        <v>3.5300926435353803</v>
      </c>
      <c r="O11" s="1">
        <f t="shared" si="11"/>
        <v>6.3549918792171034E-2</v>
      </c>
      <c r="P11" s="1">
        <v>3.9377265694625083</v>
      </c>
      <c r="Q11" s="1">
        <v>3.7240692919606375</v>
      </c>
      <c r="R11" s="1">
        <v>3.6022175265679719</v>
      </c>
      <c r="S11" s="1">
        <f t="shared" si="4"/>
        <v>3.7546711293303723</v>
      </c>
      <c r="T11" s="1">
        <f t="shared" si="5"/>
        <v>0.16983501936822321</v>
      </c>
      <c r="U11" s="1">
        <v>2.5592266319106232</v>
      </c>
      <c r="V11" s="1">
        <v>2.6761453628687875</v>
      </c>
      <c r="W11" s="1">
        <v>2.6981802969960444</v>
      </c>
      <c r="X11" s="1">
        <f t="shared" si="6"/>
        <v>2.6445174305918182</v>
      </c>
      <c r="Y11" s="1">
        <f t="shared" si="7"/>
        <v>7.4681154485286741E-2</v>
      </c>
      <c r="Z11" s="1">
        <v>3.5164570810071805</v>
      </c>
      <c r="AA11" s="1">
        <v>3.3650157681791035</v>
      </c>
      <c r="AB11" s="1">
        <v>3.5365707343688939</v>
      </c>
      <c r="AC11" s="1">
        <f t="shared" si="8"/>
        <v>3.4726811945183926</v>
      </c>
      <c r="AD11" s="1">
        <f t="shared" si="9"/>
        <v>9.378178279657759E-2</v>
      </c>
    </row>
    <row r="12" spans="1:30" x14ac:dyDescent="0.25">
      <c r="A12" s="3" t="s">
        <v>50</v>
      </c>
      <c r="B12" s="1">
        <v>4.9067118291308151E-2</v>
      </c>
      <c r="C12" s="1">
        <v>5.3487422727521917E-2</v>
      </c>
      <c r="D12" s="1">
        <v>5.0899157159285807E-2</v>
      </c>
      <c r="E12" s="1">
        <f t="shared" si="0"/>
        <v>5.115123272603863E-2</v>
      </c>
      <c r="F12" s="1">
        <f t="shared" si="1"/>
        <v>2.2209073361394642E-3</v>
      </c>
      <c r="G12" s="1">
        <v>3.3849681924857787E-2</v>
      </c>
      <c r="H12" s="1">
        <v>3.9827659282451772E-2</v>
      </c>
      <c r="I12" s="1">
        <v>3.5360835160400811E-2</v>
      </c>
      <c r="J12" s="1">
        <f t="shared" si="2"/>
        <v>3.6346058789236795E-2</v>
      </c>
      <c r="K12" s="1">
        <f t="shared" si="3"/>
        <v>3.1083842299640405E-3</v>
      </c>
      <c r="L12" s="1">
        <v>1.8389052497849886E-2</v>
      </c>
      <c r="M12" s="1">
        <v>2.0486707578203395E-2</v>
      </c>
      <c r="N12" s="6">
        <f t="shared" si="10"/>
        <v>1.9437880038026642E-2</v>
      </c>
      <c r="O12" s="1">
        <f t="shared" si="11"/>
        <v>1.4832661319083783E-3</v>
      </c>
      <c r="P12" s="1">
        <v>1.0393579446094384E-2</v>
      </c>
      <c r="Q12" s="1">
        <v>1.026941135119655E-2</v>
      </c>
      <c r="R12" s="1">
        <v>1.0799820155955583E-2</v>
      </c>
      <c r="S12" s="1">
        <f t="shared" si="4"/>
        <v>1.0487603651082172E-2</v>
      </c>
      <c r="T12" s="1">
        <f t="shared" si="5"/>
        <v>2.774234820345348E-4</v>
      </c>
      <c r="U12" s="1">
        <v>2.1545923170149694</v>
      </c>
      <c r="V12" s="1">
        <v>2.128564313997205</v>
      </c>
      <c r="W12" s="1">
        <v>2.179738129444845</v>
      </c>
      <c r="X12" s="1">
        <f t="shared" si="6"/>
        <v>2.1542982534856727</v>
      </c>
      <c r="Y12" s="1">
        <f t="shared" si="7"/>
        <v>2.5588175040176783E-2</v>
      </c>
      <c r="Z12" s="1">
        <v>0.20112702980646296</v>
      </c>
      <c r="AA12" s="1">
        <v>0.19098737913385355</v>
      </c>
      <c r="AB12" s="1">
        <v>0.20558066777903161</v>
      </c>
      <c r="AC12" s="1">
        <f t="shared" si="8"/>
        <v>0.19923169223978268</v>
      </c>
      <c r="AD12" s="1">
        <f t="shared" si="9"/>
        <v>7.4789870128997285E-3</v>
      </c>
    </row>
    <row r="13" spans="1:30" x14ac:dyDescent="0.25">
      <c r="A13" s="3" t="s">
        <v>27</v>
      </c>
      <c r="B13" s="4"/>
      <c r="C13" s="4"/>
      <c r="D13" s="4"/>
      <c r="E13" s="1"/>
      <c r="F13" s="1"/>
      <c r="G13" s="4"/>
      <c r="H13" s="4"/>
      <c r="I13" s="4"/>
      <c r="J13" s="1"/>
      <c r="K13" s="1"/>
      <c r="L13" s="4"/>
      <c r="M13" s="4"/>
      <c r="N13" s="6"/>
      <c r="O13" s="4"/>
      <c r="P13" s="4"/>
      <c r="Q13" s="4"/>
      <c r="R13" s="4"/>
      <c r="S13" s="1"/>
      <c r="T13" s="1"/>
      <c r="U13" s="1">
        <v>1.2902112099194729</v>
      </c>
      <c r="V13" s="1">
        <v>1.3143864434481449</v>
      </c>
      <c r="W13" s="1">
        <v>1.3037386319834863</v>
      </c>
      <c r="X13" s="1">
        <f t="shared" si="6"/>
        <v>1.3027787617837012</v>
      </c>
      <c r="Y13" s="1">
        <f t="shared" si="7"/>
        <v>1.2116166561325541E-2</v>
      </c>
      <c r="Z13" s="1">
        <v>0.13617098489184129</v>
      </c>
      <c r="AA13" s="1">
        <v>0.1346104955965583</v>
      </c>
      <c r="AB13" s="1">
        <v>0.13374623267451577</v>
      </c>
      <c r="AC13" s="1">
        <f t="shared" si="8"/>
        <v>0.13484257105430511</v>
      </c>
      <c r="AD13" s="1">
        <f t="shared" si="9"/>
        <v>1.2289223296948243E-3</v>
      </c>
    </row>
    <row r="14" spans="1:30" x14ac:dyDescent="0.25">
      <c r="A14" s="3" t="s">
        <v>7</v>
      </c>
      <c r="B14" s="1">
        <v>7.7131997377574396E-2</v>
      </c>
      <c r="C14" s="1">
        <v>8.3337807122427068E-2</v>
      </c>
      <c r="D14" s="1">
        <v>8.2716984386301665E-2</v>
      </c>
      <c r="E14" s="1">
        <f t="shared" si="0"/>
        <v>8.1062262962101048E-2</v>
      </c>
      <c r="F14" s="1">
        <f t="shared" si="1"/>
        <v>3.4178349713098344E-3</v>
      </c>
      <c r="G14" s="1">
        <v>0.20667130271811082</v>
      </c>
      <c r="H14" s="1">
        <v>0.16578187912094608</v>
      </c>
      <c r="I14" s="1">
        <v>0.17563620338071659</v>
      </c>
      <c r="J14" s="1">
        <f t="shared" si="2"/>
        <v>0.18269646173992449</v>
      </c>
      <c r="K14" s="1">
        <f t="shared" si="3"/>
        <v>2.1339439463143522E-2</v>
      </c>
      <c r="L14" s="1">
        <v>0.21377182336720141</v>
      </c>
      <c r="M14" s="1">
        <v>0.2179602709615677</v>
      </c>
      <c r="N14" s="6">
        <f t="shared" si="10"/>
        <v>0.21586604716438457</v>
      </c>
      <c r="O14" s="1">
        <f t="shared" si="11"/>
        <v>2.961679696620886E-3</v>
      </c>
      <c r="P14" s="1">
        <v>8.8283095773906015E-2</v>
      </c>
      <c r="Q14" s="1">
        <v>7.9479117248261288E-2</v>
      </c>
      <c r="R14" s="1">
        <v>8.8302772393622261E-2</v>
      </c>
      <c r="S14" s="1">
        <f t="shared" si="4"/>
        <v>8.5354995138596526E-2</v>
      </c>
      <c r="T14" s="1">
        <f t="shared" si="5"/>
        <v>5.0886690331498948E-3</v>
      </c>
      <c r="U14" s="1">
        <v>16.861762987856995</v>
      </c>
      <c r="V14" s="1">
        <v>17.094774934202785</v>
      </c>
      <c r="W14" s="1">
        <v>17.408471194677841</v>
      </c>
      <c r="X14" s="1">
        <f t="shared" si="6"/>
        <v>17.121669705579208</v>
      </c>
      <c r="Y14" s="1">
        <f t="shared" si="7"/>
        <v>0.27434460519000292</v>
      </c>
      <c r="Z14" s="1">
        <v>1.7074177347687445</v>
      </c>
      <c r="AA14" s="1">
        <v>1.5245328564398557</v>
      </c>
      <c r="AB14" s="1">
        <v>1.7537515464142461</v>
      </c>
      <c r="AC14" s="1">
        <f t="shared" si="8"/>
        <v>1.6619007125409488</v>
      </c>
      <c r="AD14" s="1">
        <f t="shared" si="9"/>
        <v>0.1211988095764895</v>
      </c>
    </row>
    <row r="15" spans="1:30" x14ac:dyDescent="0.25">
      <c r="A15" s="3" t="s">
        <v>25</v>
      </c>
      <c r="B15" s="1">
        <v>3.79243577455039E-2</v>
      </c>
      <c r="C15" s="1">
        <v>3.710293409353857E-2</v>
      </c>
      <c r="D15" s="1">
        <v>3.6566054571871988E-2</v>
      </c>
      <c r="E15" s="1">
        <f t="shared" si="0"/>
        <v>3.7197782136971481E-2</v>
      </c>
      <c r="F15" s="1">
        <f t="shared" si="1"/>
        <v>6.8410086345649401E-4</v>
      </c>
      <c r="G15" s="1">
        <v>5.1700454147350861E-2</v>
      </c>
      <c r="H15" s="1">
        <v>5.0036927301953207E-2</v>
      </c>
      <c r="I15" s="1">
        <v>5.4323373478065394E-2</v>
      </c>
      <c r="J15" s="1">
        <f t="shared" si="2"/>
        <v>5.2020251642456487E-2</v>
      </c>
      <c r="K15" s="1">
        <f t="shared" si="3"/>
        <v>2.1610432743431056E-3</v>
      </c>
      <c r="L15" s="4"/>
      <c r="M15" s="4"/>
      <c r="N15" s="6"/>
      <c r="O15" s="4"/>
      <c r="P15" s="4"/>
      <c r="Q15" s="4"/>
      <c r="R15" s="4"/>
      <c r="S15" s="1"/>
      <c r="T15" s="1"/>
      <c r="U15" s="1">
        <v>8.8117450799611614</v>
      </c>
      <c r="V15" s="1">
        <v>8.9060132727723254</v>
      </c>
      <c r="W15" s="1">
        <v>8.958229946773681</v>
      </c>
      <c r="X15" s="1">
        <f t="shared" si="6"/>
        <v>8.8919960998357226</v>
      </c>
      <c r="Y15" s="1">
        <f t="shared" si="7"/>
        <v>7.4241598205597475E-2</v>
      </c>
      <c r="Z15" s="1">
        <v>0.78595054344932891</v>
      </c>
      <c r="AA15" s="1">
        <v>0.78142588616187325</v>
      </c>
      <c r="AB15" s="1">
        <v>0.78649677672107421</v>
      </c>
      <c r="AC15" s="1">
        <f t="shared" si="8"/>
        <v>0.78462440211075879</v>
      </c>
      <c r="AD15" s="1">
        <f t="shared" si="9"/>
        <v>2.7834279051641994E-3</v>
      </c>
    </row>
    <row r="16" spans="1:30" x14ac:dyDescent="0.25">
      <c r="A16" s="3" t="s">
        <v>32</v>
      </c>
      <c r="B16" s="4"/>
      <c r="C16" s="4"/>
      <c r="D16" s="4"/>
      <c r="E16" s="1"/>
      <c r="F16" s="1"/>
      <c r="G16" s="4"/>
      <c r="H16" s="4"/>
      <c r="I16" s="4"/>
      <c r="J16" s="1"/>
      <c r="K16" s="1"/>
      <c r="L16" s="1">
        <v>0</v>
      </c>
      <c r="M16" s="1">
        <v>0</v>
      </c>
      <c r="N16" s="6"/>
      <c r="O16" s="1"/>
      <c r="P16" s="1">
        <v>0</v>
      </c>
      <c r="Q16" s="1">
        <v>0</v>
      </c>
      <c r="R16" s="1">
        <v>0</v>
      </c>
      <c r="S16" s="1"/>
      <c r="T16" s="1"/>
      <c r="U16" s="1">
        <v>0.7879001308850978</v>
      </c>
      <c r="V16" s="1">
        <v>0.86868966829029537</v>
      </c>
      <c r="W16" s="1">
        <v>0.77175138326657267</v>
      </c>
      <c r="X16" s="1">
        <f t="shared" si="6"/>
        <v>0.80944706081398865</v>
      </c>
      <c r="Y16" s="1">
        <f t="shared" si="7"/>
        <v>5.193708133747528E-2</v>
      </c>
      <c r="Z16" s="1">
        <v>6.5608412930747206E-2</v>
      </c>
      <c r="AA16" s="1">
        <v>6.6739049470515649E-2</v>
      </c>
      <c r="AB16" s="1">
        <v>6.1606044836549634E-2</v>
      </c>
      <c r="AC16" s="1">
        <f t="shared" si="8"/>
        <v>6.4651169079270834E-2</v>
      </c>
      <c r="AD16" s="1">
        <f t="shared" si="9"/>
        <v>2.6970671082624442E-3</v>
      </c>
    </row>
    <row r="17" spans="1:30" x14ac:dyDescent="0.25">
      <c r="A17" s="3" t="s">
        <v>47</v>
      </c>
      <c r="B17" s="1">
        <v>2.3189784180791387E-2</v>
      </c>
      <c r="C17" s="1">
        <v>2.3907196931410881E-2</v>
      </c>
      <c r="D17" s="1">
        <v>2.2629191364420535E-2</v>
      </c>
      <c r="E17" s="1">
        <f t="shared" si="0"/>
        <v>2.3242057492207601E-2</v>
      </c>
      <c r="F17" s="1">
        <f t="shared" si="1"/>
        <v>6.4060434874373985E-4</v>
      </c>
      <c r="G17" s="1">
        <v>4.6372192025516554E-2</v>
      </c>
      <c r="H17" s="1">
        <v>4.4984946542195682E-2</v>
      </c>
      <c r="I17" s="1">
        <v>4.3324972394958798E-2</v>
      </c>
      <c r="J17" s="1">
        <f t="shared" si="2"/>
        <v>4.4894036987557014E-2</v>
      </c>
      <c r="K17" s="1">
        <f t="shared" si="3"/>
        <v>1.5256425792293513E-3</v>
      </c>
      <c r="L17" s="4"/>
      <c r="M17" s="4"/>
      <c r="N17" s="6"/>
      <c r="O17" s="4"/>
      <c r="P17" s="4"/>
      <c r="Q17" s="4"/>
      <c r="R17" s="4"/>
      <c r="S17" s="1"/>
      <c r="T17" s="1"/>
      <c r="U17" s="1">
        <v>6.4566394807296303</v>
      </c>
      <c r="V17" s="1">
        <v>6.4313106510127929</v>
      </c>
      <c r="W17" s="1">
        <v>6.5426533507501841</v>
      </c>
      <c r="X17" s="1">
        <f t="shared" si="6"/>
        <v>6.4768678274975358</v>
      </c>
      <c r="Y17" s="1">
        <f t="shared" si="7"/>
        <v>5.8362562537337966E-2</v>
      </c>
      <c r="Z17" s="1">
        <v>0.60485803537189586</v>
      </c>
      <c r="AA17" s="1">
        <v>0.58867254689212556</v>
      </c>
      <c r="AB17" s="1">
        <v>0.60702769287769232</v>
      </c>
      <c r="AC17" s="1">
        <f t="shared" si="8"/>
        <v>0.60018609171390458</v>
      </c>
      <c r="AD17" s="1">
        <f t="shared" si="9"/>
        <v>1.0029862371710321E-2</v>
      </c>
    </row>
    <row r="18" spans="1:30" x14ac:dyDescent="0.25">
      <c r="A18" s="3" t="s">
        <v>33</v>
      </c>
      <c r="B18" s="1">
        <v>0.10556519577831676</v>
      </c>
      <c r="C18" s="1">
        <v>0.10472950647032886</v>
      </c>
      <c r="D18" s="1">
        <v>0.11210849133140005</v>
      </c>
      <c r="E18" s="1">
        <f t="shared" si="0"/>
        <v>0.10746773119334856</v>
      </c>
      <c r="F18" s="1">
        <f t="shared" si="1"/>
        <v>4.0406787980569701E-3</v>
      </c>
      <c r="G18" s="1">
        <v>0.84282894898440797</v>
      </c>
      <c r="H18" s="1">
        <v>0.76537567385020222</v>
      </c>
      <c r="I18" s="1">
        <v>0.85100406865524503</v>
      </c>
      <c r="J18" s="1">
        <f t="shared" si="2"/>
        <v>0.81973623049661848</v>
      </c>
      <c r="K18" s="1">
        <f t="shared" si="3"/>
        <v>4.7254742985115193E-2</v>
      </c>
      <c r="L18" s="4"/>
      <c r="M18" s="4"/>
      <c r="N18" s="6"/>
      <c r="O18" s="4"/>
      <c r="P18" s="4"/>
      <c r="Q18" s="4"/>
      <c r="R18" s="4"/>
      <c r="S18" s="1"/>
      <c r="T18" s="1"/>
      <c r="U18" s="1">
        <v>22.991209028449354</v>
      </c>
      <c r="V18" s="1">
        <v>22.957550447252068</v>
      </c>
      <c r="W18" s="1">
        <v>22.473231987058632</v>
      </c>
      <c r="X18" s="1">
        <f t="shared" si="6"/>
        <v>22.807330487586682</v>
      </c>
      <c r="Y18" s="1">
        <f t="shared" si="7"/>
        <v>0.28982681218854373</v>
      </c>
      <c r="Z18" s="1">
        <v>2.075010353272797</v>
      </c>
      <c r="AA18" s="1">
        <v>1.9836912179709596</v>
      </c>
      <c r="AB18" s="1">
        <v>2.0720947941680743</v>
      </c>
      <c r="AC18" s="1">
        <f t="shared" si="8"/>
        <v>2.0435987884706104</v>
      </c>
      <c r="AD18" s="1">
        <f t="shared" si="9"/>
        <v>5.1901954429493774E-2</v>
      </c>
    </row>
    <row r="19" spans="1:30" x14ac:dyDescent="0.25">
      <c r="A19" s="3" t="s">
        <v>21</v>
      </c>
      <c r="B19" s="4"/>
      <c r="C19" s="4"/>
      <c r="D19" s="4"/>
      <c r="E19" s="1"/>
      <c r="F19" s="1"/>
      <c r="G19" s="4"/>
      <c r="H19" s="4"/>
      <c r="I19" s="4"/>
      <c r="J19" s="1"/>
      <c r="K19" s="1"/>
      <c r="L19" s="4"/>
      <c r="M19" s="4"/>
      <c r="N19" s="6"/>
      <c r="O19" s="4"/>
      <c r="P19" s="4"/>
      <c r="Q19" s="4"/>
      <c r="R19" s="4"/>
      <c r="S19" s="1"/>
      <c r="T19" s="1"/>
      <c r="U19" s="1">
        <v>3.3250129621714364</v>
      </c>
      <c r="V19" s="1">
        <v>3.3817756497014582</v>
      </c>
      <c r="W19" s="1">
        <v>3.414139864302161</v>
      </c>
      <c r="X19" s="1">
        <f t="shared" si="6"/>
        <v>3.3736428253916855</v>
      </c>
      <c r="Y19" s="1">
        <f t="shared" si="7"/>
        <v>4.5116607743658728E-2</v>
      </c>
      <c r="Z19" s="1">
        <v>0.30459707796238727</v>
      </c>
      <c r="AA19" s="1">
        <v>0.29802800082395503</v>
      </c>
      <c r="AB19" s="1">
        <v>0.30042583451448834</v>
      </c>
      <c r="AC19" s="1">
        <f t="shared" si="8"/>
        <v>0.30101697110027686</v>
      </c>
      <c r="AD19" s="1">
        <f t="shared" si="9"/>
        <v>3.3241954605530625E-3</v>
      </c>
    </row>
    <row r="20" spans="1:30" x14ac:dyDescent="0.25">
      <c r="A20" s="3" t="s">
        <v>13</v>
      </c>
      <c r="B20" s="4"/>
      <c r="C20" s="4"/>
      <c r="D20" s="4"/>
      <c r="E20" s="1"/>
      <c r="F20" s="1"/>
      <c r="G20" s="4"/>
      <c r="H20" s="4"/>
      <c r="I20" s="4"/>
      <c r="J20" s="1"/>
      <c r="K20" s="1"/>
      <c r="L20" s="1">
        <v>0.17288092442105685</v>
      </c>
      <c r="M20" s="1">
        <v>0.17730530012992962</v>
      </c>
      <c r="N20" s="6">
        <f t="shared" si="10"/>
        <v>0.17509311227549323</v>
      </c>
      <c r="O20" s="1">
        <f t="shared" si="11"/>
        <v>3.1285060662609768E-3</v>
      </c>
      <c r="P20" s="1">
        <v>3.0038329366996373E-2</v>
      </c>
      <c r="Q20" s="1">
        <v>2.5084133497873425E-2</v>
      </c>
      <c r="R20" s="1">
        <v>2.7317764450484314E-2</v>
      </c>
      <c r="S20" s="1">
        <f t="shared" si="4"/>
        <v>2.7480075771784702E-2</v>
      </c>
      <c r="T20" s="1">
        <f t="shared" si="5"/>
        <v>2.4810830097309181E-3</v>
      </c>
      <c r="U20" s="1">
        <v>0</v>
      </c>
      <c r="V20" s="1">
        <v>0</v>
      </c>
      <c r="W20" s="1">
        <v>0</v>
      </c>
      <c r="X20" s="1"/>
      <c r="Y20" s="1"/>
      <c r="Z20" s="1">
        <v>0.12254785798815761</v>
      </c>
      <c r="AA20" s="1">
        <v>0.12979729380315538</v>
      </c>
      <c r="AB20" s="1">
        <v>0.10647139664855015</v>
      </c>
      <c r="AC20" s="1">
        <f t="shared" si="8"/>
        <v>0.11960551614662106</v>
      </c>
      <c r="AD20" s="1">
        <f t="shared" si="9"/>
        <v>1.1938065218080678E-2</v>
      </c>
    </row>
    <row r="21" spans="1:30" x14ac:dyDescent="0.25">
      <c r="A21" s="3" t="s">
        <v>11</v>
      </c>
      <c r="B21" s="1">
        <v>0.21530889727042107</v>
      </c>
      <c r="C21" s="1">
        <v>0.18054048109040233</v>
      </c>
      <c r="D21" s="1">
        <v>0.16063116212800027</v>
      </c>
      <c r="E21" s="1">
        <f t="shared" si="0"/>
        <v>0.18549351349627455</v>
      </c>
      <c r="F21" s="1">
        <f t="shared" si="1"/>
        <v>2.7673327909494238E-2</v>
      </c>
      <c r="G21" s="1">
        <v>0.16491560247673431</v>
      </c>
      <c r="H21" s="1">
        <v>0.16595704220816035</v>
      </c>
      <c r="I21" s="1">
        <v>0.16893561855179798</v>
      </c>
      <c r="J21" s="1">
        <f t="shared" si="2"/>
        <v>0.16660275441223085</v>
      </c>
      <c r="K21" s="1">
        <f t="shared" si="3"/>
        <v>2.0863462078012807E-3</v>
      </c>
      <c r="L21" s="4"/>
      <c r="M21" s="4"/>
      <c r="N21" s="6"/>
      <c r="O21" s="4"/>
      <c r="P21" s="4"/>
      <c r="Q21" s="4"/>
      <c r="R21" s="4"/>
      <c r="S21" s="1"/>
      <c r="T21" s="1"/>
      <c r="U21" s="1">
        <v>14.994038900683151</v>
      </c>
      <c r="V21" s="1">
        <v>15.145280714641926</v>
      </c>
      <c r="W21" s="1">
        <v>15.15477248861896</v>
      </c>
      <c r="X21" s="1">
        <f t="shared" si="6"/>
        <v>15.098030701314679</v>
      </c>
      <c r="Y21" s="1">
        <f t="shared" si="7"/>
        <v>9.0184501951545759E-2</v>
      </c>
      <c r="Z21" s="1">
        <v>1.1369369448467821</v>
      </c>
      <c r="AA21" s="1">
        <v>1.1906806598915827</v>
      </c>
      <c r="AB21" s="1">
        <v>1.1869321062744886</v>
      </c>
      <c r="AC21" s="1">
        <f t="shared" si="8"/>
        <v>1.1715165703376178</v>
      </c>
      <c r="AD21" s="1">
        <f t="shared" si="9"/>
        <v>3.0005429306542142E-2</v>
      </c>
    </row>
    <row r="22" spans="1:30" x14ac:dyDescent="0.25">
      <c r="A22" s="3" t="s">
        <v>1</v>
      </c>
      <c r="B22" s="1">
        <v>5.1693193674642382E-2</v>
      </c>
      <c r="C22" s="1">
        <v>4.7045812539872743E-2</v>
      </c>
      <c r="D22" s="1">
        <v>4.9954607036092329E-2</v>
      </c>
      <c r="E22" s="1">
        <f t="shared" si="0"/>
        <v>4.9564537750202482E-2</v>
      </c>
      <c r="F22" s="1">
        <f t="shared" si="1"/>
        <v>2.3481169878860684E-3</v>
      </c>
      <c r="G22" s="1">
        <v>7.5082738764717993E-2</v>
      </c>
      <c r="H22" s="1">
        <v>6.4290650123731904E-2</v>
      </c>
      <c r="I22" s="1">
        <v>7.0336936818699125E-2</v>
      </c>
      <c r="J22" s="1">
        <f t="shared" si="2"/>
        <v>6.9903441902383012E-2</v>
      </c>
      <c r="K22" s="1">
        <f t="shared" si="3"/>
        <v>5.4090879721612195E-3</v>
      </c>
      <c r="L22" s="1">
        <v>4.7943772299535985E-3</v>
      </c>
      <c r="M22" s="1">
        <v>5.4788131343351653E-3</v>
      </c>
      <c r="N22" s="6">
        <f t="shared" si="10"/>
        <v>5.1365951821443819E-3</v>
      </c>
      <c r="O22" s="1">
        <f t="shared" si="11"/>
        <v>4.8396926927575328E-4</v>
      </c>
      <c r="P22" s="1">
        <v>5.7327914266326061E-3</v>
      </c>
      <c r="Q22" s="1">
        <v>4.5801211241256285E-3</v>
      </c>
      <c r="R22" s="1">
        <v>6.6589860466044551E-3</v>
      </c>
      <c r="S22" s="1">
        <f t="shared" si="4"/>
        <v>5.6572995324542302E-3</v>
      </c>
      <c r="T22" s="1">
        <f t="shared" si="5"/>
        <v>1.04148649105171E-3</v>
      </c>
      <c r="U22" s="1">
        <v>6.5924150131385346</v>
      </c>
      <c r="V22" s="1">
        <v>6.4394682747176235</v>
      </c>
      <c r="W22" s="1">
        <v>7.0138589516477401</v>
      </c>
      <c r="X22" s="1">
        <f t="shared" si="6"/>
        <v>6.681914079834633</v>
      </c>
      <c r="Y22" s="1">
        <f t="shared" si="7"/>
        <v>0.29747054415633128</v>
      </c>
      <c r="Z22" s="1">
        <v>0.65297562832375222</v>
      </c>
      <c r="AA22" s="1">
        <v>0.6345481169514593</v>
      </c>
      <c r="AB22" s="1">
        <v>0.5415547875355633</v>
      </c>
      <c r="AC22" s="1">
        <f t="shared" si="8"/>
        <v>0.60969284427025827</v>
      </c>
      <c r="AD22" s="1">
        <f t="shared" si="9"/>
        <v>5.9724277940627964E-2</v>
      </c>
    </row>
    <row r="23" spans="1:30" x14ac:dyDescent="0.25">
      <c r="A23" s="3" t="s">
        <v>2</v>
      </c>
      <c r="B23" s="1">
        <v>1.2956513748538461E-2</v>
      </c>
      <c r="C23" s="1">
        <v>1.2006177611283425E-2</v>
      </c>
      <c r="D23" s="1">
        <v>1.2043857010936807E-2</v>
      </c>
      <c r="E23" s="1">
        <f t="shared" si="0"/>
        <v>1.2335516123586231E-2</v>
      </c>
      <c r="F23" s="1">
        <f t="shared" si="1"/>
        <v>5.3812960514804716E-4</v>
      </c>
      <c r="G23" s="1">
        <v>2.2334003987079104E-2</v>
      </c>
      <c r="H23" s="1">
        <v>2.0342772298809032E-2</v>
      </c>
      <c r="I23" s="1">
        <v>1.971147550717571E-2</v>
      </c>
      <c r="J23" s="1">
        <f t="shared" si="2"/>
        <v>2.0796083931021281E-2</v>
      </c>
      <c r="K23" s="1">
        <f t="shared" si="3"/>
        <v>1.3687704277563504E-3</v>
      </c>
      <c r="L23" s="4"/>
      <c r="M23" s="4"/>
      <c r="N23" s="6"/>
      <c r="O23" s="4"/>
      <c r="P23" s="4"/>
      <c r="Q23" s="4"/>
      <c r="R23" s="4"/>
      <c r="S23" s="1"/>
      <c r="T23" s="1"/>
      <c r="U23" s="1">
        <v>1.1380548331614313</v>
      </c>
      <c r="V23" s="1">
        <v>1.1423128445646205</v>
      </c>
      <c r="W23" s="1">
        <v>1.1535538154209748</v>
      </c>
      <c r="X23" s="1">
        <f t="shared" si="6"/>
        <v>1.1446404977156754</v>
      </c>
      <c r="Y23" s="1">
        <f t="shared" si="7"/>
        <v>8.0073772025628584E-3</v>
      </c>
      <c r="Z23" s="1">
        <v>0.10056646889912513</v>
      </c>
      <c r="AA23" s="1">
        <v>9.8929295819955895E-2</v>
      </c>
      <c r="AB23" s="1">
        <v>9.4464139816165762E-2</v>
      </c>
      <c r="AC23" s="1">
        <f t="shared" si="8"/>
        <v>9.7986634845082257E-2</v>
      </c>
      <c r="AD23" s="1">
        <f t="shared" si="9"/>
        <v>3.1584905167413757E-3</v>
      </c>
    </row>
    <row r="24" spans="1:30" x14ac:dyDescent="0.25">
      <c r="A24" s="3" t="s">
        <v>18</v>
      </c>
      <c r="B24" s="1">
        <v>6.8883333368974842E-2</v>
      </c>
      <c r="C24" s="1">
        <v>7.2539850701454994E-2</v>
      </c>
      <c r="D24" s="1">
        <v>6.9615057607942676E-2</v>
      </c>
      <c r="E24" s="1">
        <f t="shared" si="0"/>
        <v>7.0346080559457499E-2</v>
      </c>
      <c r="F24" s="1">
        <f t="shared" si="1"/>
        <v>1.9347676003626457E-3</v>
      </c>
      <c r="G24" s="1">
        <v>0.13016229695163495</v>
      </c>
      <c r="H24" s="1">
        <v>0.12489148699721507</v>
      </c>
      <c r="I24" s="1">
        <v>0.13134912264536897</v>
      </c>
      <c r="J24" s="1">
        <f t="shared" si="2"/>
        <v>0.12880096886473966</v>
      </c>
      <c r="K24" s="1">
        <f t="shared" si="3"/>
        <v>3.4373209278745673E-3</v>
      </c>
      <c r="L24" s="1">
        <v>2.2136949740651075E-2</v>
      </c>
      <c r="M24" s="1">
        <v>2.190087740416001E-2</v>
      </c>
      <c r="N24" s="6">
        <f t="shared" si="10"/>
        <v>2.2018913572405541E-2</v>
      </c>
      <c r="O24" s="1">
        <f t="shared" si="11"/>
        <v>1.669283499833842E-4</v>
      </c>
      <c r="P24" s="1">
        <v>0.63284457757848356</v>
      </c>
      <c r="Q24" s="1">
        <v>0.63164779024497619</v>
      </c>
      <c r="R24" s="1">
        <v>0.61681730802984269</v>
      </c>
      <c r="S24" s="1">
        <f t="shared" si="4"/>
        <v>0.62710322528443418</v>
      </c>
      <c r="T24" s="1">
        <f t="shared" si="5"/>
        <v>8.9279418292592828E-3</v>
      </c>
      <c r="U24" s="4"/>
      <c r="V24" s="4"/>
      <c r="W24" s="4"/>
      <c r="X24" s="1"/>
      <c r="Y24" s="1"/>
      <c r="Z24" s="1">
        <v>0.19353960076525606</v>
      </c>
      <c r="AA24" s="1">
        <v>0.19274343068719241</v>
      </c>
      <c r="AB24" s="1">
        <v>0.19816735176075712</v>
      </c>
      <c r="AC24" s="1">
        <f t="shared" si="8"/>
        <v>0.19481679440440183</v>
      </c>
      <c r="AD24" s="1">
        <f t="shared" si="9"/>
        <v>2.928847494659069E-3</v>
      </c>
    </row>
    <row r="25" spans="1:30" x14ac:dyDescent="0.25">
      <c r="A25" s="3" t="s">
        <v>6</v>
      </c>
      <c r="B25" s="4"/>
      <c r="C25" s="4"/>
      <c r="D25" s="4"/>
      <c r="E25" s="1"/>
      <c r="F25" s="1"/>
      <c r="G25" s="4"/>
      <c r="H25" s="4"/>
      <c r="I25" s="4"/>
      <c r="J25" s="1"/>
      <c r="K25" s="1"/>
      <c r="L25" s="4"/>
      <c r="M25" s="4"/>
      <c r="N25" s="6"/>
      <c r="O25" s="4"/>
      <c r="P25" s="4"/>
      <c r="Q25" s="4"/>
      <c r="R25" s="4"/>
      <c r="S25" s="1"/>
      <c r="T25" s="1"/>
      <c r="U25" s="4"/>
      <c r="V25" s="4"/>
      <c r="W25" s="4"/>
      <c r="X25" s="1"/>
      <c r="Y25" s="1"/>
      <c r="Z25" s="4"/>
      <c r="AA25" s="4"/>
      <c r="AB25" s="4"/>
      <c r="AC25" s="1"/>
      <c r="AD25" s="1"/>
    </row>
    <row r="26" spans="1:30" x14ac:dyDescent="0.25">
      <c r="A26" s="3" t="s">
        <v>34</v>
      </c>
      <c r="B26" s="1">
        <v>6.3944249829823108E-2</v>
      </c>
      <c r="C26" s="1">
        <v>6.2527621921967466E-2</v>
      </c>
      <c r="D26" s="1">
        <v>6.6210392853860697E-2</v>
      </c>
      <c r="E26" s="1">
        <f t="shared" si="0"/>
        <v>6.42274215352171E-2</v>
      </c>
      <c r="F26" s="1">
        <f t="shared" si="1"/>
        <v>1.8576436943750104E-3</v>
      </c>
      <c r="G26" s="1">
        <v>0.51433133175341428</v>
      </c>
      <c r="H26" s="1">
        <v>0.51233719605977479</v>
      </c>
      <c r="I26" s="1">
        <v>0.52801859960581676</v>
      </c>
      <c r="J26" s="1">
        <f t="shared" si="2"/>
        <v>0.51822904247300194</v>
      </c>
      <c r="K26" s="1">
        <f t="shared" si="3"/>
        <v>8.5364346148521456E-3</v>
      </c>
      <c r="L26" s="1">
        <v>0.20346979426686493</v>
      </c>
      <c r="M26" s="1">
        <v>0.19769469093410053</v>
      </c>
      <c r="N26" s="6">
        <f t="shared" si="10"/>
        <v>0.20058224260048274</v>
      </c>
      <c r="O26" s="1">
        <f t="shared" si="11"/>
        <v>4.0836147286507406E-3</v>
      </c>
      <c r="P26" s="1">
        <v>0.37977506288332152</v>
      </c>
      <c r="Q26" s="1">
        <v>0.38218460644091051</v>
      </c>
      <c r="R26" s="1">
        <v>0.37143992781998236</v>
      </c>
      <c r="S26" s="1">
        <f t="shared" si="4"/>
        <v>0.37779986571473811</v>
      </c>
      <c r="T26" s="1">
        <f t="shared" si="5"/>
        <v>5.6380921026391983E-3</v>
      </c>
      <c r="U26" s="1">
        <v>0.2283825998457043</v>
      </c>
      <c r="V26" s="1">
        <v>0.2287337211672367</v>
      </c>
      <c r="W26" s="1">
        <v>0.23830560331971085</v>
      </c>
      <c r="X26" s="1">
        <f t="shared" si="6"/>
        <v>0.23180730811088393</v>
      </c>
      <c r="Y26" s="1">
        <f t="shared" si="7"/>
        <v>5.6304264502260943E-3</v>
      </c>
      <c r="Z26" s="1">
        <v>0.28842920984725112</v>
      </c>
      <c r="AA26" s="1">
        <v>0.29259331891445994</v>
      </c>
      <c r="AB26" s="1">
        <v>0.30011135035782088</v>
      </c>
      <c r="AC26" s="1">
        <f t="shared" si="8"/>
        <v>0.29371129303984395</v>
      </c>
      <c r="AD26" s="1">
        <f t="shared" si="9"/>
        <v>5.9207686440144692E-3</v>
      </c>
    </row>
    <row r="27" spans="1:30" x14ac:dyDescent="0.25">
      <c r="A27" s="3" t="s">
        <v>9</v>
      </c>
      <c r="B27" s="4"/>
      <c r="C27" s="4"/>
      <c r="D27" s="4"/>
      <c r="E27" s="1"/>
      <c r="F27" s="1"/>
      <c r="G27" s="4"/>
      <c r="H27" s="4"/>
      <c r="I27" s="4"/>
      <c r="J27" s="1"/>
      <c r="K27" s="1"/>
      <c r="L27" s="1">
        <v>1.6830501037153889E-2</v>
      </c>
      <c r="M27" s="1">
        <v>1.6875136213401743E-2</v>
      </c>
      <c r="N27" s="6">
        <f t="shared" si="10"/>
        <v>1.6852818625277814E-2</v>
      </c>
      <c r="O27" s="1">
        <f t="shared" si="11"/>
        <v>3.1561835804314503E-5</v>
      </c>
      <c r="P27" s="1">
        <v>0.43706922387472047</v>
      </c>
      <c r="Q27" s="1">
        <v>0.43770261304580893</v>
      </c>
      <c r="R27" s="1">
        <v>0.41146122599682566</v>
      </c>
      <c r="S27" s="1">
        <f t="shared" si="4"/>
        <v>0.428744354305785</v>
      </c>
      <c r="T27" s="1">
        <f t="shared" si="5"/>
        <v>1.4970978210139686E-2</v>
      </c>
      <c r="U27" s="1">
        <v>6.8195463858372491</v>
      </c>
      <c r="V27" s="1">
        <v>6.772817611185145</v>
      </c>
      <c r="W27" s="1">
        <v>6.959250143263584</v>
      </c>
      <c r="X27" s="1">
        <f t="shared" si="6"/>
        <v>6.8505380467619927</v>
      </c>
      <c r="Y27" s="1">
        <f t="shared" si="7"/>
        <v>9.7003270766764654E-2</v>
      </c>
      <c r="Z27" s="1">
        <v>0.76463852523937137</v>
      </c>
      <c r="AA27" s="1">
        <v>0.76050167368251054</v>
      </c>
      <c r="AB27" s="1">
        <v>0.75093525370079961</v>
      </c>
      <c r="AC27" s="1">
        <f t="shared" si="8"/>
        <v>0.75869181754089388</v>
      </c>
      <c r="AD27" s="1">
        <f t="shared" si="9"/>
        <v>7.028626975090403E-3</v>
      </c>
    </row>
    <row r="28" spans="1:30" x14ac:dyDescent="0.25">
      <c r="A28" s="3" t="s">
        <v>29</v>
      </c>
      <c r="B28" s="4"/>
      <c r="C28" s="4"/>
      <c r="D28" s="4"/>
      <c r="E28" s="1"/>
      <c r="F28" s="1"/>
      <c r="G28" s="4"/>
      <c r="H28" s="4"/>
      <c r="I28" s="4"/>
      <c r="J28" s="1"/>
      <c r="K28" s="1"/>
      <c r="L28" s="4"/>
      <c r="M28" s="4"/>
      <c r="N28" s="6"/>
      <c r="O28" s="4"/>
      <c r="P28" s="4"/>
      <c r="Q28" s="4"/>
      <c r="R28" s="4"/>
      <c r="S28" s="1"/>
      <c r="T28" s="1"/>
      <c r="U28" s="1">
        <v>0.77053837550700344</v>
      </c>
      <c r="V28" s="1">
        <v>0.73276640865443654</v>
      </c>
      <c r="W28" s="1">
        <v>0.80985768070958375</v>
      </c>
      <c r="X28" s="1">
        <f t="shared" si="6"/>
        <v>0.77105415495700791</v>
      </c>
      <c r="Y28" s="1">
        <f t="shared" si="7"/>
        <v>3.8548224058975337E-2</v>
      </c>
      <c r="Z28" s="1">
        <v>8.9219010080441058E-2</v>
      </c>
      <c r="AA28" s="1">
        <v>8.2787239331058665E-2</v>
      </c>
      <c r="AB28" s="1">
        <v>7.0761721161885241E-2</v>
      </c>
      <c r="AC28" s="1">
        <f t="shared" si="8"/>
        <v>8.0922656857794983E-2</v>
      </c>
      <c r="AD28" s="1">
        <f t="shared" si="9"/>
        <v>9.3688515521093835E-3</v>
      </c>
    </row>
    <row r="29" spans="1:30" x14ac:dyDescent="0.25">
      <c r="A29" s="3" t="s">
        <v>10</v>
      </c>
      <c r="B29" s="4"/>
      <c r="C29" s="4"/>
      <c r="D29" s="4"/>
      <c r="E29" s="1"/>
      <c r="F29" s="1"/>
      <c r="G29" s="4"/>
      <c r="H29" s="4"/>
      <c r="I29" s="4"/>
      <c r="J29" s="1"/>
      <c r="K29" s="1"/>
      <c r="L29" s="4"/>
      <c r="M29" s="4"/>
      <c r="N29" s="6"/>
      <c r="O29" s="4"/>
      <c r="P29" s="4"/>
      <c r="Q29" s="4"/>
      <c r="R29" s="4"/>
      <c r="S29" s="1"/>
      <c r="T29" s="1"/>
      <c r="U29" s="1">
        <v>3.3364087538815493E-2</v>
      </c>
      <c r="V29" s="1">
        <v>2.9107860631449874E-2</v>
      </c>
      <c r="W29" s="1">
        <v>3.5387554207634141E-2</v>
      </c>
      <c r="X29" s="1">
        <f t="shared" si="6"/>
        <v>3.2619834125966501E-2</v>
      </c>
      <c r="Y29" s="1">
        <f t="shared" si="7"/>
        <v>3.2053194395559878E-3</v>
      </c>
      <c r="Z29" s="4"/>
      <c r="AA29" s="4"/>
      <c r="AB29" s="4"/>
      <c r="AC29" s="1"/>
      <c r="AD29" s="1"/>
    </row>
    <row r="30" spans="1:30" x14ac:dyDescent="0.25">
      <c r="A30" s="3" t="s">
        <v>4</v>
      </c>
      <c r="B30" s="1">
        <v>0</v>
      </c>
      <c r="C30" s="1">
        <v>0</v>
      </c>
      <c r="D30" s="1">
        <v>0</v>
      </c>
      <c r="E30" s="1"/>
      <c r="F30" s="1"/>
      <c r="G30" s="1">
        <v>0</v>
      </c>
      <c r="H30" s="1">
        <v>0</v>
      </c>
      <c r="I30" s="1">
        <v>0</v>
      </c>
      <c r="J30" s="1"/>
      <c r="K30" s="1"/>
      <c r="L30" s="1">
        <v>0</v>
      </c>
      <c r="M30" s="1">
        <v>0</v>
      </c>
      <c r="N30" s="6"/>
      <c r="O30" s="1"/>
      <c r="P30" s="1">
        <v>0</v>
      </c>
      <c r="Q30" s="1">
        <v>0</v>
      </c>
      <c r="R30" s="1">
        <v>0</v>
      </c>
      <c r="S30" s="1"/>
      <c r="T30" s="1"/>
      <c r="U30" s="1">
        <v>0.66189478881616892</v>
      </c>
      <c r="V30" s="1">
        <v>0.86162033026345863</v>
      </c>
      <c r="W30" s="1">
        <v>0.83302064390250374</v>
      </c>
      <c r="X30" s="1">
        <f t="shared" si="6"/>
        <v>0.78551192099404377</v>
      </c>
      <c r="Y30" s="1">
        <f t="shared" si="7"/>
        <v>0.10800639814797114</v>
      </c>
      <c r="Z30" s="1">
        <v>5.9320812066787305E-2</v>
      </c>
      <c r="AA30" s="1">
        <v>5.6800727385937631E-2</v>
      </c>
      <c r="AB30" s="1">
        <v>5.6774645708462627E-2</v>
      </c>
      <c r="AC30" s="1">
        <f t="shared" si="8"/>
        <v>5.7632061720395859E-2</v>
      </c>
      <c r="AD30" s="1">
        <f t="shared" si="9"/>
        <v>1.4625588408002294E-3</v>
      </c>
    </row>
    <row r="31" spans="1:30" x14ac:dyDescent="0.25">
      <c r="A31" s="3" t="s">
        <v>24</v>
      </c>
      <c r="B31" s="4"/>
      <c r="C31" s="4"/>
      <c r="D31" s="4"/>
      <c r="E31" s="1"/>
      <c r="F31" s="1"/>
      <c r="G31" s="4"/>
      <c r="H31" s="4"/>
      <c r="I31" s="4"/>
      <c r="J31" s="1"/>
      <c r="K31" s="1"/>
      <c r="L31" s="1">
        <v>0</v>
      </c>
      <c r="M31" s="1">
        <v>0</v>
      </c>
      <c r="N31" s="6"/>
      <c r="O31" s="1"/>
      <c r="P31" s="1">
        <v>0</v>
      </c>
      <c r="Q31" s="1">
        <v>0</v>
      </c>
      <c r="R31" s="1">
        <v>0</v>
      </c>
      <c r="S31" s="1"/>
      <c r="T31" s="1"/>
      <c r="U31" s="1">
        <v>8.9632987721961294E-2</v>
      </c>
      <c r="V31" s="1">
        <v>8.9389593229767542E-2</v>
      </c>
      <c r="W31" s="1">
        <v>9.448255064528828E-2</v>
      </c>
      <c r="X31" s="1">
        <f t="shared" si="6"/>
        <v>9.116837719900571E-2</v>
      </c>
      <c r="Y31" s="1">
        <f t="shared" si="7"/>
        <v>2.8727372737062037E-3</v>
      </c>
      <c r="Z31" s="1">
        <v>1.2616465284385129E-2</v>
      </c>
      <c r="AA31" s="1">
        <v>1.1612581250933708E-2</v>
      </c>
      <c r="AB31" s="1">
        <v>1.3303110214715098E-2</v>
      </c>
      <c r="AC31" s="1">
        <f t="shared" si="8"/>
        <v>1.2510718916677979E-2</v>
      </c>
      <c r="AD31" s="1">
        <f t="shared" si="9"/>
        <v>8.5021101207781761E-4</v>
      </c>
    </row>
    <row r="32" spans="1:30" x14ac:dyDescent="0.25">
      <c r="A32" s="3" t="s">
        <v>14</v>
      </c>
      <c r="B32" s="1"/>
      <c r="C32" s="1"/>
      <c r="D32" s="1"/>
      <c r="E32" s="1"/>
      <c r="F32" s="1"/>
      <c r="G32" s="1">
        <v>1.955139732530253E-2</v>
      </c>
      <c r="H32" s="1">
        <v>1.9630941897444971E-2</v>
      </c>
      <c r="I32" s="1">
        <v>1.9204504434791523E-2</v>
      </c>
      <c r="J32" s="1">
        <f t="shared" si="2"/>
        <v>1.9462281219179672E-2</v>
      </c>
      <c r="K32" s="1">
        <f t="shared" si="3"/>
        <v>2.2675645010992031E-4</v>
      </c>
      <c r="L32" s="1"/>
      <c r="M32" s="1"/>
      <c r="N32" s="6"/>
      <c r="O32" s="1"/>
      <c r="P32" s="1">
        <v>0</v>
      </c>
      <c r="Q32" s="1">
        <v>0</v>
      </c>
      <c r="R32" s="1">
        <v>0</v>
      </c>
      <c r="S32" s="1"/>
      <c r="T32" s="1"/>
      <c r="U32" s="1">
        <v>3.4702160406074785</v>
      </c>
      <c r="V32" s="1">
        <v>3.5151762298597116</v>
      </c>
      <c r="W32" s="1">
        <v>3.5694436575251198</v>
      </c>
      <c r="X32" s="1">
        <f t="shared" si="6"/>
        <v>3.5182786426641033</v>
      </c>
      <c r="Y32" s="1">
        <f t="shared" si="7"/>
        <v>4.9686504341673973E-2</v>
      </c>
      <c r="Z32" s="1">
        <v>0.29691063643720927</v>
      </c>
      <c r="AA32" s="1">
        <v>0.29842271963466593</v>
      </c>
      <c r="AB32" s="1">
        <v>0.3060075759120065</v>
      </c>
      <c r="AC32" s="1">
        <f t="shared" si="8"/>
        <v>0.30044697732796055</v>
      </c>
      <c r="AD32" s="1">
        <f t="shared" si="9"/>
        <v>4.8746067901604025E-3</v>
      </c>
    </row>
    <row r="33" spans="1:30" x14ac:dyDescent="0.25">
      <c r="A33" s="3" t="s">
        <v>41</v>
      </c>
      <c r="B33" s="1">
        <v>212.48151537484145</v>
      </c>
      <c r="C33" s="1">
        <v>200.29004509762476</v>
      </c>
      <c r="D33" s="1">
        <v>219.35602519377954</v>
      </c>
      <c r="E33" s="1">
        <f t="shared" si="0"/>
        <v>210.70919522208192</v>
      </c>
      <c r="F33" s="1">
        <f t="shared" si="1"/>
        <v>9.6557619222747419</v>
      </c>
      <c r="G33" s="1">
        <v>187.17615931690722</v>
      </c>
      <c r="H33" s="1">
        <v>232.63986797255126</v>
      </c>
      <c r="I33" s="1">
        <v>199.53628170630788</v>
      </c>
      <c r="J33" s="1">
        <f t="shared" si="2"/>
        <v>206.45076966525548</v>
      </c>
      <c r="K33" s="1">
        <f t="shared" si="3"/>
        <v>23.507335216526435</v>
      </c>
      <c r="L33" s="1">
        <v>138.45514005341815</v>
      </c>
      <c r="M33" s="1">
        <v>137.91751789302387</v>
      </c>
      <c r="N33" s="6">
        <f t="shared" si="10"/>
        <v>138.18632897322101</v>
      </c>
      <c r="O33" s="1">
        <f t="shared" si="11"/>
        <v>0.38015627533095575</v>
      </c>
      <c r="P33" s="1">
        <v>164.49413279939208</v>
      </c>
      <c r="Q33" s="1">
        <v>175.04527362840034</v>
      </c>
      <c r="R33" s="1">
        <v>190.25932117536453</v>
      </c>
      <c r="S33" s="1">
        <f t="shared" si="4"/>
        <v>176.59957586771898</v>
      </c>
      <c r="T33" s="1">
        <f t="shared" si="5"/>
        <v>12.952726531533806</v>
      </c>
      <c r="U33" s="1">
        <v>171.67844435460046</v>
      </c>
      <c r="V33" s="1">
        <v>172.91412213272352</v>
      </c>
      <c r="W33" s="1">
        <v>171.54694070598714</v>
      </c>
      <c r="X33" s="1">
        <f t="shared" si="6"/>
        <v>172.04650239777038</v>
      </c>
      <c r="Y33" s="1">
        <f t="shared" si="7"/>
        <v>0.75425214998684686</v>
      </c>
      <c r="Z33" s="1">
        <v>150.49624354000119</v>
      </c>
      <c r="AA33" s="1">
        <v>150.3139245399596</v>
      </c>
      <c r="AB33" s="1">
        <v>146.09863573676103</v>
      </c>
      <c r="AC33" s="1">
        <f t="shared" si="8"/>
        <v>148.96960127224062</v>
      </c>
      <c r="AD33" s="1">
        <f t="shared" si="9"/>
        <v>2.487999675216559</v>
      </c>
    </row>
    <row r="34" spans="1:30" x14ac:dyDescent="0.25">
      <c r="A34" s="3" t="s">
        <v>37</v>
      </c>
      <c r="B34" s="1">
        <v>3.645967910650763</v>
      </c>
      <c r="C34" s="1">
        <v>3.525153978665382</v>
      </c>
      <c r="D34" s="1">
        <v>3.4444458181698807</v>
      </c>
      <c r="E34" s="1">
        <f t="shared" si="0"/>
        <v>3.5385225691620086</v>
      </c>
      <c r="F34" s="1">
        <f t="shared" si="1"/>
        <v>0.10142400035676066</v>
      </c>
      <c r="G34" s="1">
        <v>0.48210614521349393</v>
      </c>
      <c r="H34" s="1">
        <v>0.46847886049525561</v>
      </c>
      <c r="I34" s="1">
        <v>0.50551157127957558</v>
      </c>
      <c r="J34" s="1">
        <f t="shared" si="2"/>
        <v>0.48536552566277508</v>
      </c>
      <c r="K34" s="1">
        <f t="shared" si="3"/>
        <v>1.8730271959948658E-2</v>
      </c>
      <c r="L34" s="1">
        <v>1.1880610585912674</v>
      </c>
      <c r="M34" s="1">
        <v>1.1472413026331447</v>
      </c>
      <c r="N34" s="6">
        <f t="shared" si="10"/>
        <v>1.1676511806122061</v>
      </c>
      <c r="O34" s="1">
        <f t="shared" si="11"/>
        <v>2.8863926244368541E-2</v>
      </c>
      <c r="P34" s="1">
        <v>3.2823302567780264</v>
      </c>
      <c r="Q34" s="1">
        <v>3.5799149069271481</v>
      </c>
      <c r="R34" s="1">
        <v>3.2943423134200152</v>
      </c>
      <c r="S34" s="1">
        <f t="shared" si="4"/>
        <v>3.3855291590417296</v>
      </c>
      <c r="T34" s="1">
        <f t="shared" si="5"/>
        <v>0.16845010125233709</v>
      </c>
      <c r="U34" s="1">
        <v>3.2530292873352002</v>
      </c>
      <c r="V34" s="1">
        <v>3.3420380111972197</v>
      </c>
      <c r="W34" s="1">
        <v>3.8725924571684494</v>
      </c>
      <c r="X34" s="1">
        <f t="shared" si="6"/>
        <v>3.4892199185669566</v>
      </c>
      <c r="Y34" s="1">
        <f t="shared" si="7"/>
        <v>0.33497987364347903</v>
      </c>
      <c r="Z34" s="1">
        <v>1.9039497351225376</v>
      </c>
      <c r="AA34" s="1">
        <v>1.7056247073873856</v>
      </c>
      <c r="AB34" s="1">
        <v>1.8684172171700655</v>
      </c>
      <c r="AC34" s="1">
        <f t="shared" si="8"/>
        <v>1.8259972198933294</v>
      </c>
      <c r="AD34" s="1">
        <f t="shared" si="9"/>
        <v>0.10574874128449907</v>
      </c>
    </row>
    <row r="35" spans="1:30" x14ac:dyDescent="0.25">
      <c r="A35" s="3" t="s">
        <v>42</v>
      </c>
      <c r="B35" s="1">
        <v>5.2769735868705601</v>
      </c>
      <c r="C35" s="1">
        <v>5.4335385004384529</v>
      </c>
      <c r="D35" s="1">
        <v>5.621708030983001</v>
      </c>
      <c r="E35" s="1">
        <f t="shared" si="0"/>
        <v>5.4440733727640049</v>
      </c>
      <c r="F35" s="1">
        <f t="shared" si="1"/>
        <v>0.1726085075845486</v>
      </c>
      <c r="G35" s="1">
        <v>1.669086963555271</v>
      </c>
      <c r="H35" s="1">
        <v>1.8818397004695073</v>
      </c>
      <c r="I35" s="1">
        <v>1.8281556775330094</v>
      </c>
      <c r="J35" s="1">
        <f t="shared" si="2"/>
        <v>1.7930274471859293</v>
      </c>
      <c r="K35" s="1">
        <f t="shared" si="3"/>
        <v>0.11064097880809222</v>
      </c>
      <c r="L35" s="1">
        <v>8.0994261510865471</v>
      </c>
      <c r="M35" s="1">
        <v>8.5180960823744201</v>
      </c>
      <c r="N35" s="6">
        <f t="shared" si="10"/>
        <v>8.3087611167304836</v>
      </c>
      <c r="O35" s="1">
        <f t="shared" si="11"/>
        <v>0.29604434749256092</v>
      </c>
      <c r="P35" s="1">
        <v>15.632835513811866</v>
      </c>
      <c r="Q35" s="1">
        <v>14.253410903633611</v>
      </c>
      <c r="R35" s="1">
        <v>15.808128494175483</v>
      </c>
      <c r="S35" s="1">
        <f t="shared" si="4"/>
        <v>15.231458303873653</v>
      </c>
      <c r="T35" s="1">
        <f t="shared" si="5"/>
        <v>0.85153652010845593</v>
      </c>
      <c r="U35" s="1">
        <v>34.104414033369117</v>
      </c>
      <c r="V35" s="1">
        <v>36.976988381798371</v>
      </c>
      <c r="W35" s="1">
        <v>36.416642665594445</v>
      </c>
      <c r="X35" s="1">
        <f t="shared" si="6"/>
        <v>35.832681693587311</v>
      </c>
      <c r="Y35" s="1">
        <f t="shared" si="7"/>
        <v>1.5227208081043864</v>
      </c>
      <c r="Z35" s="1">
        <v>11.020079860372677</v>
      </c>
      <c r="AA35" s="1">
        <v>11.241118067138263</v>
      </c>
      <c r="AB35" s="1">
        <v>11.573359966397206</v>
      </c>
      <c r="AC35" s="1">
        <f t="shared" si="8"/>
        <v>11.27818596463605</v>
      </c>
      <c r="AD35" s="1">
        <f t="shared" si="9"/>
        <v>0.27849639261453313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for submission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 Kerkhoff</dc:creator>
  <cp:lastModifiedBy>Kira Kerkhoff</cp:lastModifiedBy>
  <dcterms:created xsi:type="dcterms:W3CDTF">2026-02-06T09:52:47Z</dcterms:created>
  <dcterms:modified xsi:type="dcterms:W3CDTF">2026-07-06T14:22:39Z</dcterms:modified>
</cp:coreProperties>
</file>